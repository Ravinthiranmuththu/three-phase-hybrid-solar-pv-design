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4f9c65f5934d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s" sheetId="1" r:id="Rca75ce0eec1541a3"/>
    <x:sheet xmlns:r="http://schemas.openxmlformats.org/officeDocument/2006/relationships" name="Inputs" sheetId="2" r:id="R1ec716875c274090"/>
    <x:sheet xmlns:r="http://schemas.openxmlformats.org/officeDocument/2006/relationships" name="Calculations" sheetId="3" r:id="R79a0f48425b54b56"/>
    <x:sheet xmlns:r="http://schemas.openxmlformats.org/officeDocument/2006/relationships" name="Protection" sheetId="4" r:id="Rd46cbce6a50f4bbc"/>
    <x:sheet xmlns:r="http://schemas.openxmlformats.org/officeDocument/2006/relationships" name="Cable Schedule" sheetId="5" r:id="Rc420799f9d2746b8"/>
    <x:sheet xmlns:r="http://schemas.openxmlformats.org/officeDocument/2006/relationships" name="BOQ" sheetId="6" r:id="Ra826178ea2c64b87"/>
    <x:sheet xmlns:r="http://schemas.openxmlformats.org/officeDocument/2006/relationships" name="Hold Points" sheetId="7" r:id="R394b2862801c45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24B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481a550a594d84" /><Relationship Type="http://schemas.openxmlformats.org/officeDocument/2006/relationships/theme" Target="/xl/theme/theme1.xml" Id="Ra3286a5a8eb24256" /><Relationship Type="http://schemas.openxmlformats.org/officeDocument/2006/relationships/sharedStrings" Target="/xl/sharedStrings.xml" Id="R905779f2ebfb4fea" /><Relationship Type="http://schemas.openxmlformats.org/officeDocument/2006/relationships/worksheet" Target="/xl/worksheets/sheet1.xml" Id="Rca75ce0eec1541a3" /><Relationship Type="http://schemas.openxmlformats.org/officeDocument/2006/relationships/worksheet" Target="/xl/worksheets/sheet2.xml" Id="R1ec716875c274090" /><Relationship Type="http://schemas.openxmlformats.org/officeDocument/2006/relationships/worksheet" Target="/xl/worksheets/sheet3.xml" Id="R79a0f48425b54b56" /><Relationship Type="http://schemas.openxmlformats.org/officeDocument/2006/relationships/worksheet" Target="/xl/worksheets/sheet4.xml" Id="Rd46cbce6a50f4bbc" /><Relationship Type="http://schemas.openxmlformats.org/officeDocument/2006/relationships/worksheet" Target="/xl/worksheets/sheet5.xml" Id="Rc420799f9d2746b8" /><Relationship Type="http://schemas.openxmlformats.org/officeDocument/2006/relationships/worksheet" Target="/xl/worksheets/sheet6.xml" Id="Ra826178ea2c64b87" /><Relationship Type="http://schemas.openxmlformats.org/officeDocument/2006/relationships/worksheet" Target="/xl/worksheets/sheet7.xml" Id="R394b2862801c45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22" hidden="0" customWidth="1"/>
    <x:col min="3" max="3" width="22" hidden="0" customWidth="1"/>
  </x:cols>
  <x:sheetData>
    <x:row r="1" ht="27" customHeight="1">
      <x:c r="A1" s="3" t="str">
        <x:v>Type</x:v>
      </x:c>
      <x:c r="B1" s="3" t="str">
        <x:v>Document</x:v>
      </x:c>
      <x:c r="C1" s="3" t="str">
        <x:v>URL</x:v>
      </x:c>
    </x:row>
    <x:row r="2">
      <x:c r="A2" t="str">
        <x:v>Inverter</x:v>
      </x:c>
      <x:c r="B2" t="str">
        <x:v>Deye SUN-10K-SG04LP3-EU</x:v>
      </x:c>
      <x:c r="C2" t="str">
        <x:v>https://www.deyeinv.com/product/three-phase-hybrid-inverter-1/sun5-6-8-10-12ksg04lp3.html</x:v>
      </x:c>
    </x:row>
    <x:row r="3">
      <x:c r="A3" t="str">
        <x:v>PV</x:v>
      </x:c>
      <x:c r="B3" t="str">
        <x:v>LONGi LR5-66HPH-495M</x:v>
      </x:c>
      <x:c r="C3" t="str">
        <x:v>https://cdn.autosolar.es/pdf/datasheet-495-515-LR5-66HPH-longi.pdf</x:v>
      </x:c>
    </x:row>
    <x:row r="4">
      <x:c r="A4" t="str">
        <x:v>Battery</x:v>
      </x:c>
      <x:c r="B4" t="str">
        <x:v>Deye SE-F5 manual</x:v>
      </x:c>
      <x:c r="C4" t="str">
        <x:v>https://deyeess.com/wp-content/uploads/2025/12/Deye-ESS-User-Manual-SE-F5-EUEN-V09-_20250926.pdf</x:v>
      </x:c>
    </x:row>
    <x:row r="5">
      <x:c r="A5" t="str">
        <x:v>Sri Lanka</x:v>
      </x:c>
      <x:c r="B5" t="str">
        <x:v>PUCSL rooftop solar guideline</x:v>
      </x:c>
      <x:c r="C5" t="str">
        <x:v>https://www.pucsl.gov.lk/wp-content/uploads/2024/08/Guidelines-on-Rooftop-Solar-PV-Installation-for-Solar-Service-Providers.pdf</x:v>
      </x:c>
    </x:row>
    <x:row r="6">
      <x:c r="A6" t="str">
        <x:v>Sri Lanka 2026</x:v>
      </x:c>
      <x:c r="B6" t="str">
        <x:v>PUCSL BESS interconnection guidelines listing</x:v>
      </x:c>
      <x:c r="C6" t="str">
        <x:v>https://www.pucsl.gov.lk/legal_documents_types/guidelines/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27" customHeight="1">
      <x:c r="A1" s="3" t="str">
        <x:v>Parameter</x:v>
      </x:c>
      <x:c r="B1" s="3" t="str">
        <x:v>Value</x:v>
      </x:c>
      <x:c r="C1" s="3" t="str">
        <x:v>Unit</x:v>
      </x:c>
      <x:c r="D1" s="3" t="str">
        <x:v>Basis</x:v>
      </x:c>
    </x:row>
    <x:row r="2">
      <x:c r="A2" t="str">
        <x:v>PV module count</x:v>
      </x:c>
      <x:c r="B2" t="n">
        <x:v>20</x:v>
      </x:c>
      <x:c r="C2" t="str">
        <x:v>Nos</x:v>
      </x:c>
      <x:c r="D2" t="str">
        <x:v>LONGi 495 W</x:v>
      </x:c>
    </x:row>
    <x:row r="3">
      <x:c r="A3" t="str">
        <x:v>PV module Pmax</x:v>
      </x:c>
      <x:c r="B3" t="n">
        <x:v>495</x:v>
      </x:c>
      <x:c r="C3" t="str">
        <x:v>W</x:v>
      </x:c>
      <x:c r="D3" t="str">
        <x:v>STC</x:v>
      </x:c>
    </x:row>
    <x:row r="4">
      <x:c r="A4" t="str">
        <x:v>Modules per string</x:v>
      </x:c>
      <x:c r="B4" t="n">
        <x:v>10</x:v>
      </x:c>
      <x:c r="C4" t="str">
        <x:v>Nos</x:v>
      </x:c>
      <x:c r="D4" t="str">
        <x:v>one string per MPPT</x:v>
      </x:c>
    </x:row>
    <x:row r="5">
      <x:c r="A5" t="str">
        <x:v>Strings</x:v>
      </x:c>
      <x:c r="B5" t="n">
        <x:v>2</x:v>
      </x:c>
      <x:c r="C5" t="str">
        <x:v>Nos</x:v>
      </x:c>
      <x:c r="D5" t="str">
        <x:v>MPPT1 and MPPT2</x:v>
      </x:c>
    </x:row>
    <x:row r="6">
      <x:c r="A6" t="str">
        <x:v>Module Vmp</x:v>
      </x:c>
      <x:c r="B6" t="n">
        <x:v>38.23</x:v>
      </x:c>
      <x:c r="C6" t="str">
        <x:v>V</x:v>
      </x:c>
      <x:c r="D6" t="str">
        <x:v>STC</x:v>
      </x:c>
    </x:row>
    <x:row r="7">
      <x:c r="A7" t="str">
        <x:v>Module Voc</x:v>
      </x:c>
      <x:c r="B7" t="n">
        <x:v>45.4</x:v>
      </x:c>
      <x:c r="C7" t="str">
        <x:v>V</x:v>
      </x:c>
      <x:c r="D7" t="str">
        <x:v>STC</x:v>
      </x:c>
    </x:row>
    <x:row r="8">
      <x:c r="A8" t="str">
        <x:v>Module Imp</x:v>
      </x:c>
      <x:c r="B8" t="n">
        <x:v>12.95</x:v>
      </x:c>
      <x:c r="C8" t="str">
        <x:v>A</x:v>
      </x:c>
      <x:c r="D8" t="str">
        <x:v>STC</x:v>
      </x:c>
    </x:row>
    <x:row r="9">
      <x:c r="A9" t="str">
        <x:v>Module Isc</x:v>
      </x:c>
      <x:c r="B9" t="n">
        <x:v>13.82</x:v>
      </x:c>
      <x:c r="C9" t="str">
        <x:v>A</x:v>
      </x:c>
      <x:c r="D9" t="str">
        <x:v>STC</x:v>
      </x:c>
    </x:row>
    <x:row r="10">
      <x:c r="A10" t="str">
        <x:v>Voc temperature coefficient</x:v>
      </x:c>
      <x:c r="B10" t="n">
        <x:v>-0.00265</x:v>
      </x:c>
      <x:c r="C10" t="str">
        <x:v>per °C</x:v>
      </x:c>
      <x:c r="D10" t="str">
        <x:v>LONGi datasheet</x:v>
      </x:c>
    </x:row>
    <x:row r="11">
      <x:c r="A11" t="str">
        <x:v>Cold cell temperature</x:v>
      </x:c>
      <x:c r="B11" t="n">
        <x:v>10</x:v>
      </x:c>
      <x:c r="C11" t="str">
        <x:v>°C</x:v>
      </x:c>
      <x:c r="D11" t="str">
        <x:v>illustrative</x:v>
      </x:c>
    </x:row>
    <x:row r="12">
      <x:c r="A12" t="str">
        <x:v>Hot cell temperature</x:v>
      </x:c>
      <x:c r="B12" t="n">
        <x:v>70</x:v>
      </x:c>
      <x:c r="C12" t="str">
        <x:v>°C</x:v>
      </x:c>
      <x:c r="D12" t="str">
        <x:v>illustrative</x:v>
      </x:c>
    </x:row>
    <x:row r="13">
      <x:c r="A13" t="str">
        <x:v>Inverter MPPT lower</x:v>
      </x:c>
      <x:c r="B13" t="n">
        <x:v>200</x:v>
      </x:c>
      <x:c r="C13" t="str">
        <x:v>V</x:v>
      </x:c>
      <x:c r="D13" t="str">
        <x:v>Deye</x:v>
      </x:c>
    </x:row>
    <x:row r="14">
      <x:c r="A14" t="str">
        <x:v>Inverter MPPT upper</x:v>
      </x:c>
      <x:c r="B14" t="n">
        <x:v>650</x:v>
      </x:c>
      <x:c r="C14" t="str">
        <x:v>V</x:v>
      </x:c>
      <x:c r="D14" t="str">
        <x:v>Deye</x:v>
      </x:c>
    </x:row>
    <x:row r="15">
      <x:c r="A15" t="str">
        <x:v>Inverter PV max</x:v>
      </x:c>
      <x:c r="B15" t="n">
        <x:v>800</x:v>
      </x:c>
      <x:c r="C15" t="str">
        <x:v>V</x:v>
      </x:c>
      <x:c r="D15" t="str">
        <x:v>Deye</x:v>
      </x:c>
    </x:row>
    <x:row r="16">
      <x:c r="A16" t="str">
        <x:v>MPPT1 current max</x:v>
      </x:c>
      <x:c r="B16" t="n">
        <x:v>26</x:v>
      </x:c>
      <x:c r="C16" t="str">
        <x:v>A</x:v>
      </x:c>
      <x:c r="D16" t="str">
        <x:v>Deye</x:v>
      </x:c>
    </x:row>
    <x:row r="17">
      <x:c r="A17" t="str">
        <x:v>MPPT2 current max</x:v>
      </x:c>
      <x:c r="B17" t="n">
        <x:v>13</x:v>
      </x:c>
      <x:c r="C17" t="str">
        <x:v>A</x:v>
      </x:c>
      <x:c r="D17" t="str">
        <x:v>Deye</x:v>
      </x:c>
    </x:row>
    <x:row r="18">
      <x:c r="A18" t="str">
        <x:v>MPPT1 Isc max</x:v>
      </x:c>
      <x:c r="B18" t="n">
        <x:v>34</x:v>
      </x:c>
      <x:c r="C18" t="str">
        <x:v>A</x:v>
      </x:c>
      <x:c r="D18" t="str">
        <x:v>Deye</x:v>
      </x:c>
    </x:row>
    <x:row r="19">
      <x:c r="A19" t="str">
        <x:v>MPPT2 Isc max</x:v>
      </x:c>
      <x:c r="B19" t="n">
        <x:v>17</x:v>
      </x:c>
      <x:c r="C19" t="str">
        <x:v>A</x:v>
      </x:c>
      <x:c r="D19" t="str">
        <x:v>Deye</x:v>
      </x:c>
    </x:row>
    <x:row r="20">
      <x:c r="A20" t="str">
        <x:v>Grid line voltage</x:v>
      </x:c>
      <x:c r="B20" t="n">
        <x:v>400</x:v>
      </x:c>
      <x:c r="C20" t="str">
        <x:v>V</x:v>
      </x:c>
      <x:c r="D20" t="str">
        <x:v>3 phase</x:v>
      </x:c>
    </x:row>
    <x:row r="21">
      <x:c r="A21" t="str">
        <x:v>Inverter AC max apparent</x:v>
      </x:c>
      <x:c r="B21" t="n">
        <x:v>11000</x:v>
      </x:c>
      <x:c r="C21" t="str">
        <x:v>VA</x:v>
      </x:c>
      <x:c r="D21" t="str">
        <x:v>Deye</x:v>
      </x:c>
    </x:row>
    <x:row r="22">
      <x:c r="A22" t="str">
        <x:v>Inverter max battery current</x:v>
      </x:c>
      <x:c r="B22" t="n">
        <x:v>210</x:v>
      </x:c>
      <x:c r="C22" t="str">
        <x:v>A</x:v>
      </x:c>
      <x:c r="D22" t="str">
        <x:v>Deye</x:v>
      </x:c>
    </x:row>
    <x:row r="23">
      <x:c r="A23" t="str">
        <x:v>Battery modules</x:v>
      </x:c>
      <x:c r="B23" t="n">
        <x:v>4</x:v>
      </x:c>
      <x:c r="C23" t="str">
        <x:v>Nos</x:v>
      </x:c>
      <x:c r="D23" t="str">
        <x:v>Deye SE-F5</x:v>
      </x:c>
    </x:row>
    <x:row r="24">
      <x:c r="A24" t="str">
        <x:v>Battery nominal energy</x:v>
      </x:c>
      <x:c r="B24" t="n">
        <x:v>5.12</x:v>
      </x:c>
      <x:c r="C24" t="str">
        <x:v>kWh each</x:v>
      </x:c>
      <x:c r="D24" t="str">
        <x:v>Deye</x:v>
      </x:c>
    </x:row>
    <x:row r="25">
      <x:c r="A25" t="str">
        <x:v>Battery nominal voltage</x:v>
      </x:c>
      <x:c r="B25" t="n">
        <x:v>51.2</x:v>
      </x:c>
      <x:c r="C25" t="str">
        <x:v>V</x:v>
      </x:c>
      <x:c r="D25" t="str">
        <x:v>Deye</x:v>
      </x:c>
    </x:row>
    <x:row r="26">
      <x:c r="A26" t="str">
        <x:v>Battery minimum voltage</x:v>
      </x:c>
      <x:c r="B26" t="n">
        <x:v>44.8</x:v>
      </x:c>
      <x:c r="C26" t="str">
        <x:v>V</x:v>
      </x:c>
      <x:c r="D26" t="str">
        <x:v>Deye</x:v>
      </x:c>
    </x:row>
    <x:row r="27">
      <x:c r="A27" t="str">
        <x:v>Battery recommended DoD</x:v>
      </x:c>
      <x:c r="B27" t="n">
        <x:v>0.8</x:v>
      </x:c>
      <x:c r="C27" t="str">
        <x:v>fraction</x:v>
      </x:c>
      <x:c r="D27" t="str">
        <x:v>Deye</x:v>
      </x:c>
    </x:row>
    <x:row r="28">
      <x:c r="A28" t="str">
        <x:v>Conversion efficiency</x:v>
      </x:c>
      <x:c r="B28" t="n">
        <x:v>0.92</x:v>
      </x:c>
      <x:c r="C28" t="str">
        <x:v>fraction</x:v>
      </x:c>
      <x:c r="D28" t="str">
        <x:v>assumed</x:v>
      </x:c>
    </x:row>
    <x:row r="29">
      <x:c r="A29" t="str">
        <x:v>Critical load</x:v>
      </x:c>
      <x:c r="B29" t="n">
        <x:v>3</x:v>
      </x:c>
      <x:c r="C29" t="str">
        <x:v>kW</x:v>
      </x:c>
      <x:c r="D29" t="str">
        <x:v>assumed</x:v>
      </x:c>
    </x:row>
    <x:row r="30">
      <x:c r="A30" t="str">
        <x:v>PV cable one-way length</x:v>
      </x:c>
      <x:c r="B30" t="n">
        <x:v>30</x:v>
      </x:c>
      <x:c r="C30" t="str">
        <x:v>m</x:v>
      </x:c>
      <x:c r="D30" t="str">
        <x:v>assumed</x:v>
      </x:c>
    </x:row>
    <x:row r="31">
      <x:c r="A31" t="str">
        <x:v>AC cable one-way length</x:v>
      </x:c>
      <x:c r="B31" t="n">
        <x:v>20</x:v>
      </x:c>
      <x:c r="C31" t="str">
        <x:v>m</x:v>
      </x:c>
      <x:c r="D31" t="str">
        <x:v>assumed</x:v>
      </x:c>
    </x:row>
    <x:row r="32">
      <x:c r="A32" t="str">
        <x:v>Copper resistivity at 20C</x:v>
      </x:c>
      <x:c r="B32" t="n">
        <x:v>0.0175</x:v>
      </x:c>
      <x:c r="C32" t="str">
        <x:v>ohm mm²/m</x:v>
      </x:c>
      <x:c r="D32" t="str">
        <x:v>approx</x:v>
      </x:c>
    </x:row>
    <x:row r="33">
      <x:c r="A33" t="str">
        <x:v>PV cable candidate</x:v>
      </x:c>
      <x:c r="B33" t="n">
        <x:v>6</x:v>
      </x:c>
      <x:c r="C33" t="str">
        <x:v>mm²</x:v>
      </x:c>
      <x:c r="D33" t="str">
        <x:v>provisional</x:v>
      </x:c>
    </x:row>
    <x:row r="34">
      <x:c r="A34" t="str">
        <x:v>AC cable candidate</x:v>
      </x:c>
      <x:c r="B34" t="n">
        <x:v>6</x:v>
      </x:c>
      <x:c r="C34" t="str">
        <x:v>mm²</x:v>
      </x:c>
      <x:c r="D34" t="str">
        <x:v>provisional</x:v>
      </x:c>
    </x:row>
    <x:row r="35">
      <x:c r="A35" t="str">
        <x:v>AC power factor</x:v>
      </x:c>
      <x:c r="B35" t="n">
        <x:v>1</x:v>
      </x:c>
      <x:c r="C35" t="str">
        <x:v>fraction</x:v>
      </x:c>
      <x:c r="D35" t="str">
        <x:v>nominal</x:v>
      </x:c>
    </x:row>
    <x:row r="36">
      <x:c r="A36" t="str">
        <x:v>Grid frequency</x:v>
      </x:c>
      <x:c r="B36" t="n">
        <x:v>50</x:v>
      </x:c>
      <x:c r="C36" t="str">
        <x:v>Hz</x:v>
      </x:c>
      <x:c r="D36" t="str">
        <x:v>Sri Lanka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27" customHeight="1">
      <x:c r="A1" s="3" t="str">
        <x:v>Calculation</x:v>
      </x:c>
      <x:c r="B1" s="3" t="str">
        <x:v>Value</x:v>
      </x:c>
      <x:c r="C1" s="3" t="str">
        <x:v>Unit</x:v>
      </x:c>
      <x:c r="D1" s="3" t="str">
        <x:v>Notes</x:v>
      </x:c>
    </x:row>
    <x:row r="2">
      <x:c r="A2" t="str">
        <x:v>PV array power (kWp)</x:v>
      </x:c>
      <x:c r="B2" t="n">
        <x:f>Inputs!B2*Inputs!B3/1000</x:f>
        <x:v>9.9</x:v>
      </x:c>
      <x:c r="C2" t="str">
        <x:v>kWp</x:v>
      </x:c>
      <x:c r="D2" t="str">
        <x:v>9.90 expected</x:v>
      </x:c>
    </x:row>
    <x:row r="3">
      <x:c r="A3" t="str">
        <x:v>String Vmp STC</x:v>
      </x:c>
      <x:c r="B3" t="n">
        <x:f>Inputs!B4*Inputs!B6</x:f>
        <x:v>382.29999999999995</x:v>
      </x:c>
      <x:c r="C3" t="str">
        <x:v>V</x:v>
      </x:c>
      <x:c r="D3" t="str">
        <x:v>MPPT 200–650</x:v>
      </x:c>
    </x:row>
    <x:row r="4">
      <x:c r="A4" t="str">
        <x:v>String Voc STC</x:v>
      </x:c>
      <x:c r="B4" t="n">
        <x:f>Inputs!B4*Inputs!B7</x:f>
        <x:v>454</x:v>
      </x:c>
      <x:c r="C4" t="str">
        <x:v>V</x:v>
      </x:c>
      <x:c r="D4" t="str">
        <x:v>PV max 800</x:v>
      </x:c>
    </x:row>
    <x:row r="5">
      <x:c r="A5" t="str">
        <x:v>Cold Voc</x:v>
      </x:c>
      <x:c r="B5" t="n">
        <x:f>Inputs!B4*Inputs!B7*(1+Inputs!B10*(Inputs!B11-25))</x:f>
        <x:v>472.0465</x:v>
      </x:c>
      <x:c r="C5" t="str">
        <x:v>V</x:v>
      </x:c>
      <x:c r="D5" t="str">
        <x:v>10°C illustrative</x:v>
      </x:c>
    </x:row>
    <x:row r="6">
      <x:c r="A6" t="str">
        <x:v>Hot Voc</x:v>
      </x:c>
      <x:c r="B6" t="n">
        <x:f>Inputs!B4*Inputs!B7*(1+Inputs!B10*(Inputs!B12-25))</x:f>
        <x:v>399.8605</x:v>
      </x:c>
      <x:c r="C6" t="str">
        <x:v>V</x:v>
      </x:c>
      <x:c r="D6" t="str">
        <x:v>70°C illustrative</x:v>
      </x:c>
    </x:row>
    <x:row r="7">
      <x:c r="A7" t="str">
        <x:v>MPPT1 current</x:v>
      </x:c>
      <x:c r="B7" t="n">
        <x:f>Inputs!B8</x:f>
        <x:v>12.95</x:v>
      </x:c>
      <x:c r="C7" t="str">
        <x:v>A</x:v>
      </x:c>
      <x:c r="D7" t="str">
        <x:v>limit 26 A</x:v>
      </x:c>
    </x:row>
    <x:row r="8">
      <x:c r="A8" t="str">
        <x:v>MPPT2 current</x:v>
      </x:c>
      <x:c r="B8" t="n">
        <x:f>Inputs!B8</x:f>
        <x:v>12.95</x:v>
      </x:c>
      <x:c r="C8" t="str">
        <x:v>A</x:v>
      </x:c>
      <x:c r="D8" t="str">
        <x:v>limit 13 A, only 0.05 A margin</x:v>
      </x:c>
    </x:row>
    <x:row r="9">
      <x:c r="A9" t="str">
        <x:v>MPPT1 Isc</x:v>
      </x:c>
      <x:c r="B9" t="n">
        <x:f>Inputs!B9</x:f>
        <x:v>13.82</x:v>
      </x:c>
      <x:c r="C9" t="str">
        <x:v>A</x:v>
      </x:c>
      <x:c r="D9" t="str">
        <x:v>limit 34 A</x:v>
      </x:c>
    </x:row>
    <x:row r="10">
      <x:c r="A10" t="str">
        <x:v>MPPT2 Isc</x:v>
      </x:c>
      <x:c r="B10" t="n">
        <x:f>Inputs!B9</x:f>
        <x:v>13.82</x:v>
      </x:c>
      <x:c r="C10" t="str">
        <x:v>A</x:v>
      </x:c>
      <x:c r="D10" t="str">
        <x:v>limit 17 A</x:v>
      </x:c>
    </x:row>
    <x:row r="11">
      <x:c r="A11" t="str">
        <x:v>MPPT2 STC current pass</x:v>
      </x:c>
      <x:c r="B11" t="str">
        <x:f>IF(B8&lt;=Inputs!B17,"PASS STC","FAIL")</x:f>
        <x:v>PASS STC</x:v>
      </x:c>
      <x:c r="C11" t="str">
        <x:v>status</x:v>
      </x:c>
      <x:c r="D11" t="str">
        <x:v>temperature and tolerance still pending</x:v>
      </x:c>
    </x:row>
    <x:row r="12">
      <x:c r="A12" t="str">
        <x:v>Cold Voc pass</x:v>
      </x:c>
      <x:c r="B12" t="str">
        <x:f>IF(B5&lt;Inputs!B15,"PASS","FAIL")</x:f>
        <x:v>PASS</x:v>
      </x:c>
      <x:c r="C12" t="str">
        <x:v>status</x:v>
      </x:c>
      <x:c r="D12" t="str">
        <x:v>manufacturer max</x:v>
      </x:c>
    </x:row>
    <x:row r="13">
      <x:c r="A13" t="str">
        <x:v>Nominal AC current</x:v>
      </x:c>
      <x:c r="B13" t="n">
        <x:f>Inputs!B21/(SQRT(3)*Inputs!B20)</x:f>
        <x:v>15.87713240271471</x:v>
      </x:c>
      <x:c r="C13" t="str">
        <x:v>A</x:v>
      </x:c>
      <x:c r="D13" t="str">
        <x:v>11kVA max inverter apparent</x:v>
      </x:c>
    </x:row>
    <x:row r="14">
      <x:c r="A14" t="str">
        <x:v>Battery energy</x:v>
      </x:c>
      <x:c r="B14" t="n">
        <x:f>Inputs!B23*Inputs!B24</x:f>
        <x:v>20.48</x:v>
      </x:c>
      <x:c r="C14" t="str">
        <x:v>kWh</x:v>
      </x:c>
      <x:c r="D14" t="str">
        <x:v>nominal</x:v>
      </x:c>
    </x:row>
    <x:row r="15">
      <x:c r="A15" t="str">
        <x:v>Battery usable AC</x:v>
      </x:c>
      <x:c r="B15" t="n">
        <x:f>B14*Inputs!B27*Inputs!B28</x:f>
        <x:v>15.07328</x:v>
      </x:c>
      <x:c r="C15" t="str">
        <x:v>kWh</x:v>
      </x:c>
      <x:c r="D15" t="str">
        <x:v>DoD and assumed efficiency</x:v>
      </x:c>
    </x:row>
    <x:row r="16">
      <x:c r="A16" t="str">
        <x:v>Backup time</x:v>
      </x:c>
      <x:c r="B16" t="n">
        <x:f>B15/Inputs!B29</x:f>
        <x:v>5.024426666666667</x:v>
      </x:c>
      <x:c r="C16" t="str">
        <x:v>h</x:v>
      </x:c>
      <x:c r="D16" t="str">
        <x:v>3kW constant</x:v>
      </x:c>
    </x:row>
    <x:row r="17">
      <x:c r="A17" t="str">
        <x:v>Battery current at 10kW, nominal</x:v>
      </x:c>
      <x:c r="B17" t="n">
        <x:f>10000/(Inputs!B25*Inputs!B28)</x:f>
        <x:v>212.29619565217388</x:v>
      </x:c>
      <x:c r="C17" t="str">
        <x:v>A</x:v>
      </x:c>
      <x:c r="D17" t="str">
        <x:v>simplified</x:v>
      </x:c>
    </x:row>
    <x:row r="18">
      <x:c r="A18" t="str">
        <x:v>Battery current at 10kW, minimum V</x:v>
      </x:c>
      <x:c r="B18" t="n">
        <x:f>10000/(Inputs!B26*Inputs!B28)</x:f>
        <x:v>242.62422360248448</x:v>
      </x:c>
      <x:c r="C18" t="str">
        <x:v>A</x:v>
      </x:c>
      <x:c r="D18" t="str">
        <x:v>compare 210A inverter limit</x:v>
      </x:c>
    </x:row>
    <x:row r="19">
      <x:c r="A19" t="str">
        <x:v>PV DC voltage drop</x:v>
      </x:c>
      <x:c r="B19" t="n">
        <x:f>2*Inputs!B32*Inputs!B30*Inputs!B8/Inputs!B33</x:f>
        <x:v>2.26625</x:v>
      </x:c>
      <x:c r="C19" t="str">
        <x:v>V</x:v>
      </x:c>
      <x:c r="D19" t="str">
        <x:v>20°C only</x:v>
      </x:c>
    </x:row>
    <x:row r="20">
      <x:c r="A20" t="str">
        <x:v>PV DC drop percent</x:v>
      </x:c>
      <x:c r="B20" t="n">
        <x:f>100*B19/B3</x:f>
        <x:v>0.5927936175778186</x:v>
      </x:c>
      <x:c r="C20" t="str">
        <x:v>%</x:v>
      </x:c>
      <x:c r="D20" t="str">
        <x:v>candidate</x:v>
      </x:c>
    </x:row>
    <x:row r="21">
      <x:c r="A21" t="str">
        <x:v>AC line drop approx</x:v>
      </x:c>
      <x:c r="B21" t="n">
        <x:f>SQRT(3)*Inputs!B32*Inputs!B31*B13/Inputs!B34</x:f>
        <x:v>1.6041666666666667</x:v>
      </x:c>
      <x:c r="C21" t="str">
        <x:v>V</x:v>
      </x:c>
      <x:c r="D21" t="str">
        <x:v>resistance only</x:v>
      </x:c>
    </x:row>
    <x:row r="22">
      <x:c r="A22" t="str">
        <x:v>AC line drop percent</x:v>
      </x:c>
      <x:c r="B22" t="n">
        <x:f>100*B21/Inputs!B20</x:f>
        <x:v>0.40104166666666674</x:v>
      </x:c>
      <x:c r="C22" t="str">
        <x:v>%</x:v>
      </x:c>
      <x:c r="D22" t="str">
        <x:v>candidate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7" customHeight="1">
      <x:c r="A1" s="3" t="str">
        <x:v>Item</x:v>
      </x:c>
      <x:c r="B1" s="3" t="str">
        <x:v>Device</x:v>
      </x:c>
      <x:c r="C1" s="3" t="str">
        <x:v>Sizing criteria</x:v>
      </x:c>
      <x:c r="D1" s="3" t="str">
        <x:v>Reference</x:v>
      </x:c>
      <x:c r="E1" s="3" t="str">
        <x:v>Final rating</x:v>
      </x:c>
      <x:c r="F1" s="3" t="str">
        <x:v>Hold point</x:v>
      </x:c>
    </x:row>
    <x:row r="2">
      <x:c r="A2" t="str">
        <x:v>PV1/2 DC isolator</x:v>
      </x:c>
      <x:c r="B2" t="str">
        <x:v>2-pole DC load-break</x:v>
      </x:c>
      <x:c r="C2" t="str">
        <x:v>&gt;= cold Voc, &gt;= design Isc</x:v>
      </x:c>
      <x:c r="D2" t="str">
        <x:v>PV rated; switching category per standard</x:v>
      </x:c>
      <x:c r="E2" t="str">
        <x:v>TBD</x:v>
      </x:c>
      <x:c r="F2" t="str">
        <x:v>final after component manual</x:v>
      </x:c>
    </x:row>
    <x:row r="3">
      <x:c r="A3" t="str">
        <x:v>PV DC SPD</x:v>
      </x:c>
      <x:c r="B3" t="str">
        <x:v>Type 2 PV DC (or coordinated Type 1+2)</x:v>
      </x:c>
      <x:c r="C3" t="str">
        <x:v>Ucpv &gt; corrected max Voc; coordinate lightning</x:v>
      </x:c>
      <x:c r="D3" t="str">
        <x:v>IEC 61643-31</x:v>
      </x:c>
      <x:c r="E3" t="str">
        <x:v>TBD</x:v>
      </x:c>
      <x:c r="F3" t="str">
        <x:v>lightning risk/earthing survey</x:v>
      </x:c>
    </x:row>
    <x:row r="4">
      <x:c r="A4" t="str">
        <x:v>PV string fuse</x:v>
      </x:c>
      <x:c r="B4" t="str">
        <x:v>Assess reverse-current exposure</x:v>
      </x:c>
      <x:c r="C4" t="str">
        <x:v>single string per MPPT, no parallel strings</x:v>
      </x:c>
      <x:c r="D4" t="str">
        <x:v>module max series fuse 25 A</x:v>
      </x:c>
      <x:c r="E4" t="str">
        <x:v>Not automatically required</x:v>
      </x:c>
      <x:c r="F4" t="str">
        <x:v>review wiring and local code</x:v>
      </x:c>
    </x:row>
    <x:row r="5">
      <x:c r="A5" t="str">
        <x:v>AC grid inverter isolator</x:v>
      </x:c>
      <x:c r="B5" t="str">
        <x:v>4 pole where required</x:v>
      </x:c>
      <x:c r="C5" t="str">
        <x:v>&gt;= maximum manufacturer grid/pass-through current</x:v>
      </x:c>
      <x:c r="D5" t="str">
        <x:v>AC isolation/neutral design</x:v>
      </x:c>
      <x:c r="E5" t="str">
        <x:v>TBD</x:v>
      </x:c>
      <x:c r="F5" t="str">
        <x:v>grid scheme and inverter manual</x:v>
      </x:c>
    </x:row>
    <x:row r="6">
      <x:c r="A6" t="str">
        <x:v>Grid-side OCPD</x:v>
      </x:c>
      <x:c r="B6" t="str">
        <x:v>MCB/MCCB</x:v>
      </x:c>
      <x:c r="C6" t="str">
        <x:v>Ib&lt;=In&lt;=Iz, Icn&gt;=site PFC</x:v>
      </x:c>
      <x:c r="D6" t="str">
        <x:v>IEC 60947/60898 as applicable</x:v>
      </x:c>
      <x:c r="E6" t="str">
        <x:v>TBD</x:v>
      </x:c>
      <x:c r="F6" t="str">
        <x:v>not size from 14.4 A only</x:v>
      </x:c>
    </x:row>
    <x:row r="7">
      <x:c r="A7" t="str">
        <x:v>Backup output OCPD</x:v>
      </x:c>
      <x:c r="B7" t="str">
        <x:v>3P+N arrangement TBD</x:v>
      </x:c>
      <x:c r="C7" t="str">
        <x:v>backup output limits and fault capability</x:v>
      </x:c>
      <x:c r="D7" t="str">
        <x:v>coordinate critical DB</x:v>
      </x:c>
      <x:c r="E7" t="str">
        <x:v>TBD</x:v>
      </x:c>
      <x:c r="F7" t="str">
        <x:v>no unapproved N-PE bonding</x:v>
      </x:c>
    </x:row>
    <x:row r="8">
      <x:c r="A8" t="str">
        <x:v>AC SPD</x:v>
      </x:c>
      <x:c r="B8" t="str">
        <x:v>Type 2 / coordinated</x:v>
      </x:c>
      <x:c r="C8" t="str">
        <x:v>U c and earthing scheme</x:v>
      </x:c>
      <x:c r="D8" t="str">
        <x:v>IEC 61643-11</x:v>
      </x:c>
      <x:c r="E8" t="str">
        <x:v>TBD</x:v>
      </x:c>
      <x:c r="F8" t="str">
        <x:v>lightning protection study</x:v>
      </x:c>
    </x:row>
    <x:row r="9">
      <x:c r="A9" t="str">
        <x:v>RCD</x:v>
      </x:c>
      <x:c r="B9" t="str">
        <x:v>manufacturer-permitted type</x:v>
      </x:c>
      <x:c r="C9" t="str">
        <x:v>sensitivity and selectivity TBD</x:v>
      </x:c>
      <x:c r="D9" t="str">
        <x:v>inverter residual DC leakage guidance</x:v>
      </x:c>
      <x:c r="E9" t="str">
        <x:v>TBD</x:v>
      </x:c>
      <x:c r="F9" t="str">
        <x:v>avoid arbitrary type A/B</x:v>
      </x:c>
    </x:row>
    <x:row r="10">
      <x:c r="A10" t="str">
        <x:v>Battery main DC disconnect</x:v>
      </x:c>
      <x:c r="B10" t="str">
        <x:v>DC load break / fuse</x:v>
      </x:c>
      <x:c r="C10" t="str">
        <x:v>&gt;= maximum DC current, DC breaking capacity</x:v>
      </x:c>
      <x:c r="D10" t="str">
        <x:v>44.8-57.6 V battery range</x:v>
      </x:c>
      <x:c r="E10" t="str">
        <x:v>TBD</x:v>
      </x:c>
      <x:c r="F10" t="str">
        <x:v>210 A inverter limit and 4 branches</x:v>
      </x:c>
    </x:row>
    <x:row r="11">
      <x:c r="A11" t="str">
        <x:v>Battery branch protection</x:v>
      </x:c>
      <x:c r="B11" t="str">
        <x:v>four matched DC branches</x:v>
      </x:c>
      <x:c r="C11" t="str">
        <x:v>branch fuse, busbar, equal cable runs</x:v>
      </x:c>
      <x:c r="D11" t="str">
        <x:v>SE-F5 installation manual</x:v>
      </x:c>
      <x:c r="E11" t="str">
        <x:v>TBD</x:v>
      </x:c>
      <x:c r="F11" t="str">
        <x:v>manufacturer wiring approval</x:v>
      </x:c>
    </x:row>
    <x:row r="12">
      <x:c r="A12" t="str">
        <x:v>PE bonding</x:v>
      </x:c>
      <x:c r="B12" t="str">
        <x:v>PE conductors and terminals</x:v>
      </x:c>
      <x:c r="C12" t="str">
        <x:v>sizing per fault/ADS and local code</x:v>
      </x:c>
      <x:c r="D12" t="str">
        <x:v>equipotential bonding</x:v>
      </x:c>
      <x:c r="E12" t="str">
        <x:v>TBD</x:v>
      </x:c>
      <x:c r="F12" t="str">
        <x:v>site survey</x:v>
      </x:c>
    </x:row>
    <x:row r="13">
      <x:c r="A13" t="str">
        <x:v>Anti-islanding / meter</x:v>
      </x:c>
      <x:c r="B13" t="str">
        <x:v>utility-approved scheme</x:v>
      </x:c>
      <x:c r="C13" t="str">
        <x:v>utility-specific hybrid approval</x:v>
      </x:c>
      <x:c r="D13" t="str">
        <x:v>PUCSL / utility requirements</x:v>
      </x:c>
      <x:c r="E13" t="str">
        <x:v>TBD</x:v>
      </x:c>
      <x:c r="F13" t="str">
        <x:v>2026 interconnection review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7" customHeight="1">
      <x:c r="A1" s="3" t="str">
        <x:v>Circuit</x:v>
      </x:c>
      <x:c r="B1" s="3" t="str">
        <x:v>Route m one-way</x:v>
      </x:c>
      <x:c r="C1" s="3" t="str">
        <x:v>Candidate mm²</x:v>
      </x:c>
      <x:c r="D1" s="3" t="str">
        <x:v>Design current A</x:v>
      </x:c>
      <x:c r="E1" s="3" t="str">
        <x:v>Cable type</x:v>
      </x:c>
      <x:c r="F1" s="3" t="str">
        <x:v>Approval constraint</x:v>
      </x:c>
    </x:row>
    <x:row r="2">
      <x:c r="A2" t="str">
        <x:v>PV string 1 + / -</x:v>
      </x:c>
      <x:c r="B2" t="n">
        <x:v>30</x:v>
      </x:c>
      <x:c r="C2" t="n">
        <x:v>6</x:v>
      </x:c>
      <x:c r="D2" t="n">
        <x:v>12.95</x:v>
      </x:c>
      <x:c r="E2" t="str">
        <x:v>H1Z2Z2-K or equivalent</x:v>
      </x:c>
      <x:c r="F2" t="str">
        <x:v>Iz after rooftop derating; 1500VDC cable; UV; routing</x:v>
      </x:c>
    </x:row>
    <x:row r="3">
      <x:c r="A3" t="str">
        <x:v>PV string 2 + / -</x:v>
      </x:c>
      <x:c r="B3" t="n">
        <x:v>30</x:v>
      </x:c>
      <x:c r="C3" t="n">
        <x:v>6</x:v>
      </x:c>
      <x:c r="D3" t="n">
        <x:v>12.95</x:v>
      </x:c>
      <x:c r="E3" t="str">
        <x:v>H1Z2Z2-K or equivalent</x:v>
      </x:c>
      <x:c r="F3" t="str">
        <x:v>MPPT2 only 0.05A current headroom at STC</x:v>
      </x:c>
    </x:row>
    <x:row r="4">
      <x:c r="A4" t="str">
        <x:v>Grid AC inverter</x:v>
      </x:c>
      <x:c r="B4" t="n">
        <x:v>20</x:v>
      </x:c>
      <x:c r="C4" t="n">
        <x:v>6</x:v>
      </x:c>
      <x:c r="D4" t="n">
        <x:v>15.9</x:v>
      </x:c>
      <x:c r="E4" t="str">
        <x:v>5-core copper candidate</x:v>
      </x:c>
      <x:c r="F4" t="str">
        <x:v>max 11kVA 15.88A; pass-through can be higher</x:v>
      </x:c>
    </x:row>
    <x:row r="5">
      <x:c r="A5" t="str">
        <x:v>Backup AC</x:v>
      </x:c>
      <x:c r="B5" t="n">
        <x:v>15</x:v>
      </x:c>
      <x:c r="C5" t="n">
        <x:v>6</x:v>
      </x:c>
      <x:c r="D5" t="n">
        <x:v>15.9</x:v>
      </x:c>
      <x:c r="E5" t="str">
        <x:v>5-core copper candidate</x:v>
      </x:c>
      <x:c r="F5" t="str">
        <x:v>actual distance assumed; manufacturer backup rating</x:v>
      </x:c>
    </x:row>
    <x:row r="6">
      <x:c r="A6" t="str">
        <x:v>Battery main</x:v>
      </x:c>
      <x:c r="B6" t="n">
        <x:v>3</x:v>
      </x:c>
      <x:c r="C6"/>
      <x:c r="D6" t="n">
        <x:v>210</x:v>
      </x:c>
      <x:c r="E6" t="str">
        <x:v>flexible copper DC TBD</x:v>
      </x:c>
      <x:c r="F6" t="str">
        <x:v>at low battery V nominal 10kW can exceed 210A; require power limiting</x:v>
      </x:c>
    </x:row>
    <x:row r="7">
      <x:c r="A7" t="str">
        <x:v>Battery branches</x:v>
      </x:c>
      <x:c r="B7" t="n">
        <x:v>2</x:v>
      </x:c>
      <x:c r="C7"/>
      <x:c r="D7"/>
      <x:c r="E7" t="str">
        <x:v>matched DC cable TBD</x:v>
      </x:c>
      <x:c r="F7" t="str">
        <x:v>parallel branch current, fuses, busbar manufacturer approval</x:v>
      </x:c>
    </x:row>
    <x:row r="8">
      <x:c r="A8" t="str">
        <x:v>PE conductors</x:v>
      </x:c>
      <x:c r="B8"/>
      <x:c r="C8"/>
      <x:c r="D8"/>
      <x:c r="E8" t="str">
        <x:v>green-yellow copper TBD</x:v>
      </x:c>
      <x:c r="F8" t="str">
        <x:v>site earthing and fault loop required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27" customHeight="1">
      <x:c r="A1" s="3" t="str">
        <x:v>Description</x:v>
      </x:c>
      <x:c r="B1" s="3" t="str">
        <x:v>Qty</x:v>
      </x:c>
      <x:c r="C1" s="3" t="str">
        <x:v>Unit</x:v>
      </x:c>
      <x:c r="D1" s="3" t="str">
        <x:v>Specification</x:v>
      </x:c>
      <x:c r="E1" s="3" t="str">
        <x:v>Quote status</x:v>
      </x:c>
      <x:c r="F1" s="3" t="str">
        <x:v>Unit rate LKR</x:v>
      </x:c>
      <x:c r="G1" s="3" t="str">
        <x:v>Amount LKR</x:v>
      </x:c>
    </x:row>
    <x:row r="2">
      <x:c r="A2" t="str">
        <x:v>LONGi 495 W module</x:v>
      </x:c>
      <x:c r="B2" t="n">
        <x:v>20</x:v>
      </x:c>
      <x:c r="C2" t="str">
        <x:v>No</x:v>
      </x:c>
      <x:c r="D2" t="str">
        <x:v>Model LR5-66HPH-495M</x:v>
      </x:c>
      <x:c r="E2" t="str">
        <x:v>UNQUOTED</x:v>
      </x:c>
      <x:c r="F2"/>
      <x:c r="G2" t="str">
        <x:f>IF(ISNUMBER(F2),B2*F2,"")</x:f>
      </x:c>
    </x:row>
    <x:row r="3">
      <x:c r="A3" t="str">
        <x:v>Deye SUN-10K-SG04LP3-EU</x:v>
      </x:c>
      <x:c r="B3" t="n">
        <x:v>1</x:v>
      </x:c>
      <x:c r="C3" t="str">
        <x:v>No</x:v>
      </x:c>
      <x:c r="D3" t="str">
        <x:v>3-phase hybrid</x:v>
      </x:c>
      <x:c r="E3" t="str">
        <x:v>UNQUOTED</x:v>
      </x:c>
      <x:c r="F3"/>
      <x:c r="G3" t="str">
        <x:f>IF(ISNUMBER(F3),B3*F3,"")</x:f>
      </x:c>
    </x:row>
    <x:row r="4">
      <x:c r="A4" t="str">
        <x:v>Deye SE-F5 5.12 kWh</x:v>
      </x:c>
      <x:c r="B4" t="n">
        <x:v>4</x:v>
      </x:c>
      <x:c r="C4" t="str">
        <x:v>No</x:v>
      </x:c>
      <x:c r="D4" t="str">
        <x:v>parallel approval required</x:v>
      </x:c>
      <x:c r="E4" t="str">
        <x:v>UNQUOTED</x:v>
      </x:c>
      <x:c r="F4"/>
      <x:c r="G4" t="str">
        <x:f>IF(ISNUMBER(F4),B4*F4,"")</x:f>
      </x:c>
    </x:row>
    <x:row r="5">
      <x:c r="A5" t="str">
        <x:v>PV DC cable red</x:v>
      </x:c>
      <x:c r="B5" t="n">
        <x:v>70</x:v>
      </x:c>
      <x:c r="C5" t="str">
        <x:v>m</x:v>
      </x:c>
      <x:c r="D5" t="str">
        <x:v>allowance includes waste</x:v>
      </x:c>
      <x:c r="E5" t="str">
        <x:v>UNQUOTED</x:v>
      </x:c>
      <x:c r="F5"/>
      <x:c r="G5" t="str">
        <x:f>IF(ISNUMBER(F5),B5*F5,"")</x:f>
      </x:c>
    </x:row>
    <x:row r="6">
      <x:c r="A6" t="str">
        <x:v>PV DC cable black</x:v>
      </x:c>
      <x:c r="B6" t="n">
        <x:v>70</x:v>
      </x:c>
      <x:c r="C6" t="str">
        <x:v>m</x:v>
      </x:c>
      <x:c r="D6" t="str">
        <x:v>allowance includes waste</x:v>
      </x:c>
      <x:c r="E6" t="str">
        <x:v>UNQUOTED</x:v>
      </x:c>
      <x:c r="F6"/>
      <x:c r="G6" t="str">
        <x:f>IF(ISNUMBER(F6),B6*F6,"")</x:f>
      </x:c>
    </x:row>
    <x:row r="7">
      <x:c r="A7" t="str">
        <x:v>AC 5-core 6 mm²</x:v>
      </x:c>
      <x:c r="B7" t="n">
        <x:v>40</x:v>
      </x:c>
      <x:c r="C7" t="str">
        <x:v>m</x:v>
      </x:c>
      <x:c r="D7" t="str">
        <x:v>provisional</x:v>
      </x:c>
      <x:c r="E7" t="str">
        <x:v>UNQUOTED</x:v>
      </x:c>
      <x:c r="F7"/>
      <x:c r="G7" t="str">
        <x:f>IF(ISNUMBER(F7),B7*F7,"")</x:f>
      </x:c>
    </x:row>
    <x:row r="8">
      <x:c r="A8" t="str">
        <x:v>Battery cable</x:v>
      </x:c>
      <x:c r="B8" t="n">
        <x:v>1</x:v>
      </x:c>
      <x:c r="C8" t="str">
        <x:v>lot</x:v>
      </x:c>
      <x:c r="D8" t="str">
        <x:v>TBD sizing</x:v>
      </x:c>
      <x:c r="E8" t="str">
        <x:v>UNQUOTED</x:v>
      </x:c>
      <x:c r="F8"/>
      <x:c r="G8" t="str">
        <x:f>IF(ISNUMBER(F8),B8*F8,"")</x:f>
      </x:c>
    </x:row>
    <x:row r="9">
      <x:c r="A9" t="str">
        <x:v>Mounting rails and clamps</x:v>
      </x:c>
      <x:c r="B9" t="n">
        <x:v>1</x:v>
      </x:c>
      <x:c r="C9" t="str">
        <x:v>lot</x:v>
      </x:c>
      <x:c r="D9" t="str">
        <x:v>roof survey required</x:v>
      </x:c>
      <x:c r="E9" t="str">
        <x:v>UNQUOTED</x:v>
      </x:c>
      <x:c r="F9"/>
      <x:c r="G9" t="str">
        <x:f>IF(ISNUMBER(F9),B9*F9,"")</x:f>
      </x:c>
    </x:row>
    <x:row r="10">
      <x:c r="A10" t="str">
        <x:v>DC isolators</x:v>
      </x:c>
      <x:c r="B10" t="n">
        <x:v>2</x:v>
      </x:c>
      <x:c r="C10" t="str">
        <x:v>No</x:v>
      </x:c>
      <x:c r="D10" t="str">
        <x:v>final ratings TBD</x:v>
      </x:c>
      <x:c r="E10" t="str">
        <x:v>UNQUOTED</x:v>
      </x:c>
      <x:c r="F10"/>
      <x:c r="G10" t="str">
        <x:f>IF(ISNUMBER(F10),B10*F10,"")</x:f>
      </x:c>
    </x:row>
    <x:row r="11">
      <x:c r="A11" t="str">
        <x:v>DC SPD</x:v>
      </x:c>
      <x:c r="B11" t="n">
        <x:v>2</x:v>
      </x:c>
      <x:c r="C11" t="str">
        <x:v>No</x:v>
      </x:c>
      <x:c r="D11" t="str">
        <x:v>final ratings TBD</x:v>
      </x:c>
      <x:c r="E11" t="str">
        <x:v>UNQUOTED</x:v>
      </x:c>
      <x:c r="F11"/>
      <x:c r="G11" t="str">
        <x:f>IF(ISNUMBER(F11),B11*F11,"")</x:f>
      </x:c>
    </x:row>
    <x:row r="12">
      <x:c r="A12" t="str">
        <x:v>AC SPD</x:v>
      </x:c>
      <x:c r="B12" t="n">
        <x:v>1</x:v>
      </x:c>
      <x:c r="C12" t="str">
        <x:v>set</x:v>
      </x:c>
      <x:c r="D12" t="str">
        <x:v>final ratings TBD</x:v>
      </x:c>
      <x:c r="E12" t="str">
        <x:v>UNQUOTED</x:v>
      </x:c>
      <x:c r="F12"/>
      <x:c r="G12" t="str">
        <x:f>IF(ISNUMBER(F12),B12*F12,"")</x:f>
      </x:c>
    </x:row>
    <x:row r="13">
      <x:c r="A13" t="str">
        <x:v>AC protection and isolation</x:v>
      </x:c>
      <x:c r="B13" t="n">
        <x:v>1</x:v>
      </x:c>
      <x:c r="C13" t="str">
        <x:v>lot</x:v>
      </x:c>
      <x:c r="D13" t="str">
        <x:v>coordination TBD</x:v>
      </x:c>
      <x:c r="E13" t="str">
        <x:v>UNQUOTED</x:v>
      </x:c>
      <x:c r="F13"/>
      <x:c r="G13" t="str">
        <x:f>IF(ISNUMBER(F13),B13*F13,"")</x:f>
      </x:c>
    </x:row>
    <x:row r="14">
      <x:c r="A14" t="str">
        <x:v>Battery DC protection</x:v>
      </x:c>
      <x:c r="B14" t="n">
        <x:v>1</x:v>
      </x:c>
      <x:c r="C14" t="str">
        <x:v>lot</x:v>
      </x:c>
      <x:c r="D14" t="str">
        <x:v>manufacturer approval TBD</x:v>
      </x:c>
      <x:c r="E14" t="str">
        <x:v>UNQUOTED</x:v>
      </x:c>
      <x:c r="F14"/>
      <x:c r="G14" t="str">
        <x:f>IF(ISNUMBER(F14),B14*F14,"")</x:f>
      </x:c>
    </x:row>
    <x:row r="15">
      <x:c r="A15" t="str">
        <x:v>Monitoring CT/meter</x:v>
      </x:c>
      <x:c r="B15" t="n">
        <x:v>1</x:v>
      </x:c>
      <x:c r="C15" t="str">
        <x:v>set</x:v>
      </x:c>
      <x:c r="D15" t="str">
        <x:v>approved inverter arrangement</x:v>
      </x:c>
      <x:c r="E15" t="str">
        <x:v>UNQUOTED</x:v>
      </x:c>
      <x:c r="F15"/>
      <x:c r="G15" t="str">
        <x:f>IF(ISNUMBER(F15),B15*F15,"")</x:f>
      </x:c>
    </x:row>
    <x:row r="16">
      <x:c r="A16" t="str">
        <x:v>Installation labour</x:v>
      </x:c>
      <x:c r="B16" t="n">
        <x:v>1</x:v>
      </x:c>
      <x:c r="C16" t="str">
        <x:v>lot</x:v>
      </x:c>
      <x:c r="D16" t="str">
        <x:v>budgetary request</x:v>
      </x:c>
      <x:c r="E16" t="str">
        <x:v>UNQUOTED</x:v>
      </x:c>
      <x:c r="F16"/>
      <x:c r="G16" t="str">
        <x:f>IF(ISNUMBER(F16),B16*F16,"")</x:f>
      </x:c>
    </x:row>
    <x:row r="17">
      <x:c r="A17" t="str">
        <x:v>Commissioning/testing</x:v>
      </x:c>
      <x:c r="B17" t="n">
        <x:v>1</x:v>
      </x:c>
      <x:c r="C17" t="str">
        <x:v>lot</x:v>
      </x:c>
      <x:c r="D17" t="str">
        <x:v>budgetary request</x:v>
      </x:c>
      <x:c r="E17" t="str">
        <x:v>UNQUOTED</x:v>
      </x:c>
      <x:c r="F17"/>
      <x:c r="G17" t="str">
        <x:f>IF(ISNUMBER(F17),B17*F17,"")</x:f>
      </x:c>
    </x:row>
    <x:row r="19">
      <x:c r="F19" t="str">
        <x:v>Quoted subtotal</x:v>
      </x:c>
      <x:c r="G19" t="n">
        <x:f>SUM(G2:G17)</x:f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22" hidden="0" customWidth="1"/>
    <x:col min="3" max="3" width="22" hidden="0" customWidth="1"/>
  </x:cols>
  <x:sheetData>
    <x:row r="1" ht="27" customHeight="1">
      <x:c r="A1" s="3" t="str">
        <x:v>Gate</x:v>
      </x:c>
      <x:c r="B1" s="3" t="str">
        <x:v>Status</x:v>
      </x:c>
      <x:c r="C1" s="3" t="str">
        <x:v>Required evidence</x:v>
      </x:c>
    </x:row>
    <x:row r="2">
      <x:c r="A2" t="str">
        <x:v>Module available Sri Lanka</x:v>
      </x:c>
      <x:c r="B2" t="str">
        <x:v>OPEN</x:v>
      </x:c>
      <x:c r="C2" t="str">
        <x:v>dated supplier offer + stock confirmation</x:v>
      </x:c>
    </x:row>
    <x:row r="3">
      <x:c r="A3" t="str">
        <x:v>PV MPPT2 headroom</x:v>
      </x:c>
      <x:c r="B3" t="str">
        <x:v>OPEN</x:v>
      </x:c>
      <x:c r="C3" t="str">
        <x:v>Deye approval considering module tolerances and temperatures</x:v>
      </x:c>
    </x:row>
    <x:row r="4">
      <x:c r="A4" t="str">
        <x:v>Exact inverter firmware/manual</x:v>
      </x:c>
      <x:c r="B4" t="str">
        <x:v>OPEN</x:v>
      </x:c>
      <x:c r="C4" t="str">
        <x:v>matching model/revision and wiring diagram</x:v>
      </x:c>
    </x:row>
    <x:row r="5">
      <x:c r="A5" t="str">
        <x:v>Four battery bank</x:v>
      </x:c>
      <x:c r="B5" t="str">
        <x:v>OPEN</x:v>
      </x:c>
      <x:c r="C5" t="str">
        <x:v>Deye-approved CAN/RS485 configuration and branch protection</x:v>
      </x:c>
    </x:row>
    <x:row r="6">
      <x:c r="A6" t="str">
        <x:v>2026 PUCSL BESS guidelines</x:v>
      </x:c>
      <x:c r="B6" t="str">
        <x:v>OPEN</x:v>
      </x:c>
      <x:c r="C6" t="str">
        <x:v>interconnection and licensing assessment</x:v>
      </x:c>
    </x:row>
    <x:row r="7">
      <x:c r="A7" t="str">
        <x:v>Earthing system</x:v>
      </x:c>
      <x:c r="B7" t="str">
        <x:v>OPEN</x:v>
      </x:c>
      <x:c r="C7" t="str">
        <x:v>TN/TT, earth electrode and impedance readings</x:v>
      </x:c>
    </x:row>
    <x:row r="8">
      <x:c r="A8" t="str">
        <x:v>Site PFC</x:v>
      </x:c>
      <x:c r="B8" t="str">
        <x:v>OPEN</x:v>
      </x:c>
      <x:c r="C8" t="str">
        <x:v>fault level at MDB and backup DB</x:v>
      </x:c>
    </x:row>
    <x:row r="9">
      <x:c r="A9" t="str">
        <x:v>Cable ampacity</x:v>
      </x:c>
      <x:c r="B9" t="str">
        <x:v>OPEN</x:v>
      </x:c>
      <x:c r="C9" t="str">
        <x:v>installation method, derating and fault withstand</x:v>
      </x:c>
    </x:row>
    <x:row r="10">
      <x:c r="A10" t="str">
        <x:v>RCD and neutral switching</x:v>
      </x:c>
      <x:c r="B10" t="str">
        <x:v>OPEN</x:v>
      </x:c>
      <x:c r="C10" t="str">
        <x:v>manufacturer scheme and local utility requirements</x:v>
      </x:c>
    </x:row>
    <x:row r="11">
      <x:c r="A11" t="str">
        <x:v>Roof structure</x:v>
      </x:c>
      <x:c r="B11" t="str">
        <x:v>OPEN</x:v>
      </x:c>
      <x:c r="C11" t="str">
        <x:v>wind loads, ballast/anchors, corrosion, access</x:v>
      </x:c>
    </x:row>
    <x:row r="12">
      <x:c r="A12" t="str">
        <x:v>Formal quotes</x:v>
      </x:c>
      <x:c r="B12" t="str">
        <x:v>OPEN</x:v>
      </x:c>
      <x:c r="C12" t="str">
        <x:v>supplier document IDs, validity, VAT and delivery</x:v>
      </x:c>
    </x:row>
    <x:row r="13">
      <x:c r="A13" t="str">
        <x:v>SLD approval</x:v>
      </x:c>
      <x:c r="B13" t="str">
        <x:v>OPEN</x:v>
      </x:c>
      <x:c r="C13" t="str">
        <x:v>licensed designer/utility review</x:v>
      </x:c>
    </x:row>
  </x:sheetData>
  <x:pageMargins left="0.7" right="0.7" top="0.75" bottom="0.75" header="0.3" footer="0.3"/>
</x:worksheet>
</file>